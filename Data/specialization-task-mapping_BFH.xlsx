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danielhendriks/Documents/GitHub/llm-in-medicine/Data/"/>
    </mc:Choice>
  </mc:AlternateContent>
  <xr:revisionPtr revIDLastSave="0" documentId="13_ncr:1_{D886D98A-868D-8346-925C-5E5A163E497F}" xr6:coauthVersionLast="47" xr6:coauthVersionMax="47" xr10:uidLastSave="{00000000-0000-0000-0000-000000000000}"/>
  <bookViews>
    <workbookView xWindow="0" yWindow="500" windowWidth="37200" windowHeight="21100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S23" i="1"/>
</calcChain>
</file>

<file path=xl/sharedStrings.xml><?xml version="1.0" encoding="utf-8"?>
<sst xmlns="http://schemas.openxmlformats.org/spreadsheetml/2006/main" count="99" uniqueCount="49">
  <si>
    <t>General Radiology</t>
  </si>
  <si>
    <t>Neuroradiology</t>
  </si>
  <si>
    <t>Head and Neck Radiology</t>
  </si>
  <si>
    <t>Musculoskeletal Radiology</t>
  </si>
  <si>
    <t>Emergency Radiology</t>
  </si>
  <si>
    <t>Abdominal Imaging</t>
  </si>
  <si>
    <t>Cardiothoracic Imaging</t>
  </si>
  <si>
    <t>Mammography / Women's Imaging</t>
  </si>
  <si>
    <t>Ultrasound</t>
  </si>
  <si>
    <t>Pediatric Radiology</t>
  </si>
  <si>
    <t>Interventional Radiology</t>
  </si>
  <si>
    <t>Nuclear Imaging</t>
  </si>
  <si>
    <t>Other</t>
  </si>
  <si>
    <t>Colocolonic intussusception</t>
  </si>
  <si>
    <t>manganese poisoning</t>
  </si>
  <si>
    <t>Superior mesenteric artery syndrome</t>
  </si>
  <si>
    <t>posterior reversible encephalopathy syndrome</t>
  </si>
  <si>
    <t>Encapsulating peritoneal sclerosis</t>
  </si>
  <si>
    <t>subacute combined degeneration</t>
  </si>
  <si>
    <t>Pulmonary-artery dissection</t>
  </si>
  <si>
    <t>inverted ectopic tooth</t>
  </si>
  <si>
    <t>Infantile hepatic hemangiomas</t>
  </si>
  <si>
    <t>Metastatic adenocarcinoma</t>
  </si>
  <si>
    <t>Disseminated Mycobacterium avium–intracellulare infection</t>
  </si>
  <si>
    <t>Granulomatosis with polyangiitis</t>
  </si>
  <si>
    <t>Ischemic colitis</t>
  </si>
  <si>
    <t>Wernicke’s encephalopathy</t>
  </si>
  <si>
    <t>Cerebral cavernous malformations</t>
  </si>
  <si>
    <t>Lymphangioleiomyomatosis</t>
  </si>
  <si>
    <t>Creutzfeld-Jakob disease</t>
  </si>
  <si>
    <t>Cystic echinococcosis</t>
  </si>
  <si>
    <t>Uveal melanoma</t>
  </si>
  <si>
    <t>Neurocysticercosis</t>
  </si>
  <si>
    <t>ID</t>
  </si>
  <si>
    <t>modality</t>
  </si>
  <si>
    <t>image_count</t>
  </si>
  <si>
    <t>body_region</t>
  </si>
  <si>
    <t>ct</t>
  </si>
  <si>
    <t>abdomen</t>
  </si>
  <si>
    <t>pediatric</t>
  </si>
  <si>
    <t>mri</t>
  </si>
  <si>
    <t>head</t>
  </si>
  <si>
    <t>neuro</t>
  </si>
  <si>
    <t>spine</t>
  </si>
  <si>
    <t>thorax</t>
  </si>
  <si>
    <t>ent</t>
  </si>
  <si>
    <t>oncology</t>
  </si>
  <si>
    <t>area</t>
  </si>
  <si>
    <t>case_diagnosis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</si>
</sst>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j Friedrich Hoppe" refreshedDate="45760.831264583336" createdVersion="8" refreshedVersion="8" minRefreshableVersion="3" recordCount="21" xr:uid="{B8B881DA-DDF6-C445-BF9B-ADEB90BDAD8E}">
  <cacheSource type="worksheet">
    <worksheetSource ref="A1:S1048576" sheet="Sheet1"/>
  </cacheSource>
  <cacheFields count="19">
    <cacheField name="modality" numFmtId="0">
      <sharedItems containsBlank="1"/>
    </cacheField>
    <cacheField name="image_count" numFmtId="0">
      <sharedItems containsString="0" containsBlank="1" containsNumber="1" containsInteger="1" minValue="1" maxValue="2"/>
    </cacheField>
    <cacheField name="body_region" numFmtId="0">
      <sharedItems containsBlank="1"/>
    </cacheField>
    <cacheField name="area" numFmtId="0">
      <sharedItems containsBlank="1"/>
    </cacheField>
    <cacheField name="ID" numFmtId="0">
      <sharedItems containsString="0" containsBlank="1" containsNumber="1" containsInteger="1" minValue="2" maxValue="33"/>
    </cacheField>
    <cacheField name="case_diagnosis" numFmtId="0">
      <sharedItems containsBlank="1"/>
    </cacheField>
    <cacheField name="General Radiology" numFmtId="0">
      <sharedItems containsString="0" containsBlank="1" containsNumber="1" containsInteger="1" minValue="1" maxValue="1" count="2">
        <m/>
        <n v="1"/>
      </sharedItems>
    </cacheField>
    <cacheField name="Neuroradiology" numFmtId="0">
      <sharedItems containsString="0" containsBlank="1" containsNumber="1" containsInteger="1" minValue="1" maxValue="1" count="2">
        <m/>
        <n v="1"/>
      </sharedItems>
    </cacheField>
    <cacheField name="Head and Neck Radiology" numFmtId="0">
      <sharedItems containsString="0" containsBlank="1" containsNumber="1" containsInteger="1" minValue="1" maxValue="1" count="2">
        <m/>
        <n v="1"/>
      </sharedItems>
    </cacheField>
    <cacheField name="Musculoskeletal Radiology" numFmtId="0">
      <sharedItems containsNonDate="0" containsString="0" containsBlank="1" count="1">
        <m/>
      </sharedItems>
    </cacheField>
    <cacheField name="Emergency Radiology" numFmtId="0">
      <sharedItems containsNonDate="0" containsString="0" containsBlank="1" count="1">
        <m/>
      </sharedItems>
    </cacheField>
    <cacheField name="Abdominal Imaging" numFmtId="0">
      <sharedItems containsString="0" containsBlank="1" containsNumber="1" containsInteger="1" minValue="1" maxValue="1" count="2">
        <m/>
        <n v="1"/>
      </sharedItems>
    </cacheField>
    <cacheField name="Cardiothoracic Imaging" numFmtId="0">
      <sharedItems containsString="0" containsBlank="1" containsNumber="1" containsInteger="1" minValue="1" maxValue="1"/>
    </cacheField>
    <cacheField name="Mammography / Women's Imaging" numFmtId="0">
      <sharedItems containsNonDate="0" containsString="0" containsBlank="1"/>
    </cacheField>
    <cacheField name="Ultrasound" numFmtId="0">
      <sharedItems containsNonDate="0" containsString="0" containsBlank="1"/>
    </cacheField>
    <cacheField name="Pediatric Radiology" numFmtId="0">
      <sharedItems containsString="0" containsBlank="1" containsNumber="1" containsInteger="1" minValue="1" maxValue="1"/>
    </cacheField>
    <cacheField name="Interventional Radiology" numFmtId="0">
      <sharedItems containsNonDate="0" containsString="0" containsBlank="1"/>
    </cacheField>
    <cacheField name="Nuclear Imaging" numFmtId="0">
      <sharedItems containsNonDate="0" containsString="0" containsBlank="1"/>
    </cacheField>
    <cacheField name="Oth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ct"/>
    <n v="2"/>
    <s v="abdomen"/>
    <s v="pediatric"/>
    <n v="2"/>
    <s v="Colocolonic intussusception"/>
    <x v="0"/>
    <x v="0"/>
    <x v="0"/>
    <x v="0"/>
    <x v="0"/>
    <x v="0"/>
    <m/>
    <m/>
    <m/>
    <n v="1"/>
    <m/>
    <m/>
    <m/>
  </r>
  <r>
    <s v="mri"/>
    <n v="1"/>
    <s v="head"/>
    <s v="neuro"/>
    <n v="3"/>
    <s v="manganese poisoning"/>
    <x v="0"/>
    <x v="1"/>
    <x v="0"/>
    <x v="0"/>
    <x v="0"/>
    <x v="0"/>
    <m/>
    <m/>
    <m/>
    <m/>
    <m/>
    <m/>
    <m/>
  </r>
  <r>
    <s v="ct"/>
    <n v="2"/>
    <s v="abdomen"/>
    <s v="abdomen"/>
    <n v="5"/>
    <s v="Superior mesenteric artery syndrome"/>
    <x v="0"/>
    <x v="0"/>
    <x v="0"/>
    <x v="0"/>
    <x v="0"/>
    <x v="1"/>
    <m/>
    <m/>
    <m/>
    <m/>
    <m/>
    <m/>
    <m/>
  </r>
  <r>
    <s v="mri"/>
    <n v="2"/>
    <s v="head"/>
    <s v="neuro"/>
    <n v="6"/>
    <s v="posterior reversible encephalopathy syndrome"/>
    <x v="0"/>
    <x v="1"/>
    <x v="0"/>
    <x v="0"/>
    <x v="0"/>
    <x v="0"/>
    <m/>
    <m/>
    <m/>
    <m/>
    <m/>
    <m/>
    <m/>
  </r>
  <r>
    <s v="ct"/>
    <n v="1"/>
    <s v="abdomen"/>
    <s v="abdomen"/>
    <n v="8"/>
    <s v="Encapsulating peritoneal sclerosis"/>
    <x v="0"/>
    <x v="0"/>
    <x v="0"/>
    <x v="0"/>
    <x v="0"/>
    <x v="1"/>
    <m/>
    <m/>
    <m/>
    <m/>
    <m/>
    <m/>
    <m/>
  </r>
  <r>
    <s v="mri"/>
    <n v="2"/>
    <s v="spine"/>
    <s v="neuro"/>
    <n v="10"/>
    <s v="subacute combined degeneration"/>
    <x v="0"/>
    <x v="1"/>
    <x v="0"/>
    <x v="0"/>
    <x v="0"/>
    <x v="0"/>
    <m/>
    <m/>
    <m/>
    <m/>
    <m/>
    <m/>
    <m/>
  </r>
  <r>
    <s v="ct"/>
    <n v="1"/>
    <s v="thorax"/>
    <s v="thorax"/>
    <n v="11"/>
    <s v="Pulmonary-artery dissection"/>
    <x v="0"/>
    <x v="0"/>
    <x v="0"/>
    <x v="0"/>
    <x v="0"/>
    <x v="0"/>
    <n v="1"/>
    <m/>
    <m/>
    <m/>
    <m/>
    <m/>
    <m/>
  </r>
  <r>
    <s v="ct"/>
    <n v="1"/>
    <s v="head"/>
    <s v="ent"/>
    <n v="12"/>
    <s v="inverted ectopic tooth"/>
    <x v="0"/>
    <x v="0"/>
    <x v="1"/>
    <x v="0"/>
    <x v="0"/>
    <x v="0"/>
    <m/>
    <m/>
    <m/>
    <m/>
    <m/>
    <m/>
    <m/>
  </r>
  <r>
    <s v="mri"/>
    <n v="1"/>
    <s v="abdomen"/>
    <s v="pediatric"/>
    <n v="14"/>
    <s v="Infantile hepatic hemangiomas"/>
    <x v="0"/>
    <x v="0"/>
    <x v="0"/>
    <x v="0"/>
    <x v="0"/>
    <x v="0"/>
    <m/>
    <m/>
    <m/>
    <n v="1"/>
    <m/>
    <m/>
    <m/>
  </r>
  <r>
    <s v="mri"/>
    <n v="1"/>
    <s v="head"/>
    <s v="oncology"/>
    <n v="15"/>
    <s v="Metastatic adenocarcinoma"/>
    <x v="1"/>
    <x v="1"/>
    <x v="0"/>
    <x v="0"/>
    <x v="0"/>
    <x v="0"/>
    <m/>
    <m/>
    <m/>
    <m/>
    <m/>
    <m/>
    <m/>
  </r>
  <r>
    <s v="ct"/>
    <n v="1"/>
    <s v="abdomen"/>
    <s v="abdomen"/>
    <n v="17"/>
    <s v="Disseminated Mycobacterium avium–intracellulare infection"/>
    <x v="0"/>
    <x v="0"/>
    <x v="0"/>
    <x v="0"/>
    <x v="0"/>
    <x v="1"/>
    <m/>
    <m/>
    <m/>
    <m/>
    <m/>
    <m/>
    <m/>
  </r>
  <r>
    <s v="ct"/>
    <n v="1"/>
    <s v="head"/>
    <s v="ent"/>
    <n v="18"/>
    <s v="Granulomatosis with polyangiitis"/>
    <x v="0"/>
    <x v="0"/>
    <x v="1"/>
    <x v="0"/>
    <x v="0"/>
    <x v="0"/>
    <m/>
    <m/>
    <m/>
    <m/>
    <m/>
    <m/>
    <m/>
  </r>
  <r>
    <s v="ct"/>
    <n v="1"/>
    <s v="abdomen"/>
    <s v="abdomen"/>
    <n v="21"/>
    <s v="Ischemic colitis"/>
    <x v="0"/>
    <x v="0"/>
    <x v="0"/>
    <x v="0"/>
    <x v="0"/>
    <x v="1"/>
    <m/>
    <m/>
    <m/>
    <m/>
    <m/>
    <m/>
    <m/>
  </r>
  <r>
    <s v="mri"/>
    <n v="1"/>
    <s v="head"/>
    <s v="neuro"/>
    <n v="23"/>
    <s v="Wernicke’s encephalopathy"/>
    <x v="0"/>
    <x v="1"/>
    <x v="0"/>
    <x v="0"/>
    <x v="0"/>
    <x v="0"/>
    <m/>
    <m/>
    <m/>
    <m/>
    <m/>
    <m/>
    <m/>
  </r>
  <r>
    <s v="mri"/>
    <n v="2"/>
    <s v="head"/>
    <s v="neuro"/>
    <n v="26"/>
    <s v="Cerebral cavernous malformations"/>
    <x v="0"/>
    <x v="1"/>
    <x v="0"/>
    <x v="0"/>
    <x v="0"/>
    <x v="0"/>
    <m/>
    <m/>
    <m/>
    <m/>
    <m/>
    <m/>
    <m/>
  </r>
  <r>
    <s v="ct"/>
    <n v="1"/>
    <s v="thorax"/>
    <s v="thorax"/>
    <n v="28"/>
    <s v="Lymphangioleiomyomatosis"/>
    <x v="0"/>
    <x v="0"/>
    <x v="0"/>
    <x v="0"/>
    <x v="0"/>
    <x v="0"/>
    <n v="1"/>
    <m/>
    <m/>
    <m/>
    <m/>
    <m/>
    <m/>
  </r>
  <r>
    <s v="mri"/>
    <n v="1"/>
    <s v="head"/>
    <s v="neuro"/>
    <n v="29"/>
    <s v="Creutzfeld-Jakob disease"/>
    <x v="0"/>
    <x v="1"/>
    <x v="0"/>
    <x v="0"/>
    <x v="0"/>
    <x v="0"/>
    <m/>
    <m/>
    <m/>
    <m/>
    <m/>
    <m/>
    <m/>
  </r>
  <r>
    <s v="ct"/>
    <n v="1"/>
    <s v="abdomen"/>
    <s v="abdomen"/>
    <n v="30"/>
    <s v="Cystic echinococcosis"/>
    <x v="0"/>
    <x v="0"/>
    <x v="0"/>
    <x v="0"/>
    <x v="0"/>
    <x v="1"/>
    <m/>
    <m/>
    <m/>
    <m/>
    <m/>
    <m/>
    <m/>
  </r>
  <r>
    <s v="mri"/>
    <n v="1"/>
    <s v="head"/>
    <s v="oncology"/>
    <n v="32"/>
    <s v="Uveal melanoma"/>
    <x v="0"/>
    <x v="0"/>
    <x v="1"/>
    <x v="0"/>
    <x v="0"/>
    <x v="0"/>
    <m/>
    <m/>
    <m/>
    <m/>
    <m/>
    <m/>
    <m/>
  </r>
  <r>
    <s v="mri"/>
    <n v="1"/>
    <s v="head"/>
    <s v="neuro"/>
    <n v="33"/>
    <s v="Neurocysticercosis"/>
    <x v="0"/>
    <x v="1"/>
    <x v="0"/>
    <x v="0"/>
    <x v="0"/>
    <x v="0"/>
    <m/>
    <m/>
    <m/>
    <m/>
    <m/>
    <m/>
    <m/>
  </r>
  <r>
    <m/>
    <m/>
    <m/>
    <m/>
    <m/>
    <m/>
    <x v="0"/>
    <x v="0"/>
    <x v="0"/>
    <x v="0"/>
    <x v="0"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530D5-BA78-C54D-8F74-8A1CB7264F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20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84AF-534D-214A-A8D7-FF97F73590DD}">
  <dimension ref="A3:C20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</cols>
  <sheetData>
    <row r="3" spans="1:3" x14ac:dyDescent="0.2">
      <c r="A3" s="5"/>
      <c r="B3" s="6"/>
      <c r="C3" s="7"/>
    </row>
    <row r="4" spans="1:3" x14ac:dyDescent="0.2">
      <c r="A4" s="8"/>
      <c r="B4" s="9"/>
      <c r="C4" s="10"/>
    </row>
    <row r="5" spans="1:3" x14ac:dyDescent="0.2">
      <c r="A5" s="8"/>
      <c r="B5" s="9"/>
      <c r="C5" s="10"/>
    </row>
    <row r="6" spans="1:3" x14ac:dyDescent="0.2">
      <c r="A6" s="8"/>
      <c r="B6" s="9"/>
      <c r="C6" s="10"/>
    </row>
    <row r="7" spans="1:3" x14ac:dyDescent="0.2">
      <c r="A7" s="8"/>
      <c r="B7" s="9"/>
      <c r="C7" s="10"/>
    </row>
    <row r="8" spans="1:3" x14ac:dyDescent="0.2">
      <c r="A8" s="8"/>
      <c r="B8" s="9"/>
      <c r="C8" s="10"/>
    </row>
    <row r="9" spans="1:3" x14ac:dyDescent="0.2">
      <c r="A9" s="8"/>
      <c r="B9" s="9"/>
      <c r="C9" s="10"/>
    </row>
    <row r="10" spans="1:3" x14ac:dyDescent="0.2">
      <c r="A10" s="8"/>
      <c r="B10" s="9"/>
      <c r="C10" s="10"/>
    </row>
    <row r="11" spans="1:3" x14ac:dyDescent="0.2">
      <c r="A11" s="8"/>
      <c r="B11" s="9"/>
      <c r="C11" s="10"/>
    </row>
    <row r="12" spans="1:3" x14ac:dyDescent="0.2">
      <c r="A12" s="8"/>
      <c r="B12" s="9"/>
      <c r="C12" s="10"/>
    </row>
    <row r="13" spans="1:3" x14ac:dyDescent="0.2">
      <c r="A13" s="8"/>
      <c r="B13" s="9"/>
      <c r="C13" s="10"/>
    </row>
    <row r="14" spans="1:3" x14ac:dyDescent="0.2">
      <c r="A14" s="8"/>
      <c r="B14" s="9"/>
      <c r="C14" s="10"/>
    </row>
    <row r="15" spans="1:3" x14ac:dyDescent="0.2">
      <c r="A15" s="8"/>
      <c r="B15" s="9"/>
      <c r="C15" s="10"/>
    </row>
    <row r="16" spans="1:3" x14ac:dyDescent="0.2">
      <c r="A16" s="8"/>
      <c r="B16" s="9"/>
      <c r="C16" s="10"/>
    </row>
    <row r="17" spans="1:3" x14ac:dyDescent="0.2">
      <c r="A17" s="8"/>
      <c r="B17" s="9"/>
      <c r="C17" s="10"/>
    </row>
    <row r="18" spans="1:3" x14ac:dyDescent="0.2">
      <c r="A18" s="8"/>
      <c r="B18" s="9"/>
      <c r="C18" s="10"/>
    </row>
    <row r="19" spans="1:3" x14ac:dyDescent="0.2">
      <c r="A19" s="8"/>
      <c r="B19" s="9"/>
      <c r="C19" s="10"/>
    </row>
    <row r="20" spans="1:3" x14ac:dyDescent="0.2">
      <c r="A20" s="11"/>
      <c r="B20" s="12"/>
      <c r="C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="117" zoomScaleNormal="100" workbookViewId="0">
      <pane ySplit="1" topLeftCell="A8" activePane="bottomLeft" state="frozen"/>
      <selection pane="bottomLeft" activeCell="A22" sqref="A22:N27"/>
    </sheetView>
  </sheetViews>
  <sheetFormatPr baseColWidth="10" defaultColWidth="22.5" defaultRowHeight="15" x14ac:dyDescent="0.2"/>
  <cols>
    <col min="1" max="3" width="13.1640625" style="1" customWidth="1"/>
    <col min="4" max="4" width="14" style="1" customWidth="1"/>
    <col min="5" max="5" width="3.1640625" style="1" bestFit="1" customWidth="1"/>
    <col min="6" max="14" width="13.1640625" style="1" customWidth="1"/>
    <col min="15" max="16384" width="22.5" style="1"/>
  </cols>
  <sheetData>
    <row r="1" spans="1:19" ht="48" x14ac:dyDescent="0.2">
      <c r="A1" s="3" t="s">
        <v>34</v>
      </c>
      <c r="B1" s="3" t="s">
        <v>35</v>
      </c>
      <c r="C1" s="3" t="s">
        <v>36</v>
      </c>
      <c r="D1" s="3" t="s">
        <v>47</v>
      </c>
      <c r="E1" s="3" t="s">
        <v>33</v>
      </c>
      <c r="F1" s="4" t="s">
        <v>48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</row>
    <row r="2" spans="1:19" ht="48" x14ac:dyDescent="0.2">
      <c r="A2" t="s">
        <v>37</v>
      </c>
      <c r="B2">
        <v>2</v>
      </c>
      <c r="C2" t="s">
        <v>38</v>
      </c>
      <c r="D2" t="s">
        <v>39</v>
      </c>
      <c r="E2">
        <v>2</v>
      </c>
      <c r="F2" s="2" t="s">
        <v>13</v>
      </c>
      <c r="P2" s="1">
        <v>1</v>
      </c>
    </row>
    <row r="3" spans="1:19" ht="32" x14ac:dyDescent="0.2">
      <c r="A3" t="s">
        <v>40</v>
      </c>
      <c r="B3">
        <v>1</v>
      </c>
      <c r="C3" t="s">
        <v>41</v>
      </c>
      <c r="D3" t="s">
        <v>42</v>
      </c>
      <c r="E3">
        <v>3</v>
      </c>
      <c r="F3" s="2" t="s">
        <v>14</v>
      </c>
      <c r="H3" s="1">
        <v>1</v>
      </c>
    </row>
    <row r="4" spans="1:19" ht="64" x14ac:dyDescent="0.2">
      <c r="A4" t="s">
        <v>37</v>
      </c>
      <c r="B4">
        <v>2</v>
      </c>
      <c r="C4" t="s">
        <v>38</v>
      </c>
      <c r="D4" t="s">
        <v>38</v>
      </c>
      <c r="E4">
        <v>5</v>
      </c>
      <c r="F4" s="2" t="s">
        <v>15</v>
      </c>
      <c r="L4" s="1">
        <v>1</v>
      </c>
    </row>
    <row r="5" spans="1:19" ht="64" x14ac:dyDescent="0.2">
      <c r="A5" t="s">
        <v>40</v>
      </c>
      <c r="B5">
        <v>2</v>
      </c>
      <c r="C5" t="s">
        <v>41</v>
      </c>
      <c r="D5" t="s">
        <v>42</v>
      </c>
      <c r="E5">
        <v>6</v>
      </c>
      <c r="F5" s="2" t="s">
        <v>16</v>
      </c>
      <c r="H5" s="1">
        <v>1</v>
      </c>
    </row>
    <row r="6" spans="1:19" ht="48" x14ac:dyDescent="0.2">
      <c r="A6" t="s">
        <v>37</v>
      </c>
      <c r="B6">
        <v>1</v>
      </c>
      <c r="C6" t="s">
        <v>38</v>
      </c>
      <c r="D6" t="s">
        <v>38</v>
      </c>
      <c r="E6">
        <v>8</v>
      </c>
      <c r="F6" s="2" t="s">
        <v>17</v>
      </c>
      <c r="L6" s="1">
        <v>1</v>
      </c>
    </row>
    <row r="7" spans="1:19" ht="48" x14ac:dyDescent="0.2">
      <c r="A7" t="s">
        <v>40</v>
      </c>
      <c r="B7">
        <v>2</v>
      </c>
      <c r="C7" t="s">
        <v>43</v>
      </c>
      <c r="D7" t="s">
        <v>42</v>
      </c>
      <c r="E7">
        <v>10</v>
      </c>
      <c r="F7" s="2" t="s">
        <v>18</v>
      </c>
      <c r="H7" s="1">
        <v>1</v>
      </c>
    </row>
    <row r="8" spans="1:19" ht="48" x14ac:dyDescent="0.2">
      <c r="A8" t="s">
        <v>37</v>
      </c>
      <c r="B8">
        <v>1</v>
      </c>
      <c r="C8" t="s">
        <v>44</v>
      </c>
      <c r="D8" t="s">
        <v>44</v>
      </c>
      <c r="E8">
        <v>11</v>
      </c>
      <c r="F8" s="2" t="s">
        <v>19</v>
      </c>
      <c r="M8" s="1">
        <v>1</v>
      </c>
    </row>
    <row r="9" spans="1:19" ht="32" x14ac:dyDescent="0.2">
      <c r="A9" t="s">
        <v>37</v>
      </c>
      <c r="B9">
        <v>1</v>
      </c>
      <c r="C9" t="s">
        <v>41</v>
      </c>
      <c r="D9" t="s">
        <v>45</v>
      </c>
      <c r="E9">
        <v>12</v>
      </c>
      <c r="F9" s="2" t="s">
        <v>20</v>
      </c>
      <c r="I9" s="1">
        <v>1</v>
      </c>
    </row>
    <row r="10" spans="1:19" ht="48" x14ac:dyDescent="0.2">
      <c r="A10" t="s">
        <v>40</v>
      </c>
      <c r="B10">
        <v>1</v>
      </c>
      <c r="C10" t="s">
        <v>38</v>
      </c>
      <c r="D10" t="s">
        <v>39</v>
      </c>
      <c r="E10">
        <v>14</v>
      </c>
      <c r="F10" s="2" t="s">
        <v>21</v>
      </c>
      <c r="P10" s="1">
        <v>1</v>
      </c>
    </row>
    <row r="11" spans="1:19" ht="48" x14ac:dyDescent="0.2">
      <c r="A11" t="s">
        <v>40</v>
      </c>
      <c r="B11">
        <v>1</v>
      </c>
      <c r="C11" t="s">
        <v>41</v>
      </c>
      <c r="D11" t="s">
        <v>46</v>
      </c>
      <c r="E11">
        <v>15</v>
      </c>
      <c r="F11" s="2" t="s">
        <v>22</v>
      </c>
      <c r="G11" s="1">
        <v>1</v>
      </c>
      <c r="H11" s="1">
        <v>1</v>
      </c>
    </row>
    <row r="12" spans="1:19" ht="80" x14ac:dyDescent="0.2">
      <c r="A12" t="s">
        <v>37</v>
      </c>
      <c r="B12">
        <v>1</v>
      </c>
      <c r="C12" t="s">
        <v>38</v>
      </c>
      <c r="D12" t="s">
        <v>38</v>
      </c>
      <c r="E12">
        <v>17</v>
      </c>
      <c r="F12" s="2" t="s">
        <v>23</v>
      </c>
      <c r="L12" s="1">
        <v>1</v>
      </c>
    </row>
    <row r="13" spans="1:19" ht="48" x14ac:dyDescent="0.2">
      <c r="A13" t="s">
        <v>37</v>
      </c>
      <c r="B13">
        <v>1</v>
      </c>
      <c r="C13" t="s">
        <v>41</v>
      </c>
      <c r="D13" t="s">
        <v>45</v>
      </c>
      <c r="E13">
        <v>18</v>
      </c>
      <c r="F13" s="2" t="s">
        <v>24</v>
      </c>
      <c r="I13" s="1">
        <v>1</v>
      </c>
    </row>
    <row r="14" spans="1:19" ht="16" x14ac:dyDescent="0.2">
      <c r="A14" t="s">
        <v>37</v>
      </c>
      <c r="B14">
        <v>1</v>
      </c>
      <c r="C14" t="s">
        <v>38</v>
      </c>
      <c r="D14" t="s">
        <v>38</v>
      </c>
      <c r="E14">
        <v>21</v>
      </c>
      <c r="F14" s="2" t="s">
        <v>25</v>
      </c>
      <c r="L14" s="1">
        <v>1</v>
      </c>
    </row>
    <row r="15" spans="1:19" ht="48" x14ac:dyDescent="0.2">
      <c r="A15" t="s">
        <v>40</v>
      </c>
      <c r="B15">
        <v>1</v>
      </c>
      <c r="C15" t="s">
        <v>41</v>
      </c>
      <c r="D15" t="s">
        <v>42</v>
      </c>
      <c r="E15">
        <v>23</v>
      </c>
      <c r="F15" s="2" t="s">
        <v>26</v>
      </c>
      <c r="H15" s="1">
        <v>1</v>
      </c>
    </row>
    <row r="16" spans="1:19" ht="48" x14ac:dyDescent="0.2">
      <c r="A16" t="s">
        <v>40</v>
      </c>
      <c r="B16">
        <v>2</v>
      </c>
      <c r="C16" t="s">
        <v>41</v>
      </c>
      <c r="D16" t="s">
        <v>42</v>
      </c>
      <c r="E16">
        <v>26</v>
      </c>
      <c r="F16" s="2" t="s">
        <v>27</v>
      </c>
      <c r="H16" s="1">
        <v>1</v>
      </c>
    </row>
    <row r="17" spans="1:19" ht="32" x14ac:dyDescent="0.2">
      <c r="A17" t="s">
        <v>37</v>
      </c>
      <c r="B17">
        <v>1</v>
      </c>
      <c r="C17" t="s">
        <v>44</v>
      </c>
      <c r="D17" t="s">
        <v>44</v>
      </c>
      <c r="E17">
        <v>28</v>
      </c>
      <c r="F17" s="2" t="s">
        <v>28</v>
      </c>
      <c r="M17" s="1">
        <v>1</v>
      </c>
    </row>
    <row r="18" spans="1:19" ht="32" x14ac:dyDescent="0.2">
      <c r="A18" t="s">
        <v>40</v>
      </c>
      <c r="B18">
        <v>1</v>
      </c>
      <c r="C18" t="s">
        <v>41</v>
      </c>
      <c r="D18" t="s">
        <v>42</v>
      </c>
      <c r="E18">
        <v>29</v>
      </c>
      <c r="F18" s="2" t="s">
        <v>29</v>
      </c>
      <c r="H18" s="1">
        <v>1</v>
      </c>
    </row>
    <row r="19" spans="1:19" ht="32" x14ac:dyDescent="0.2">
      <c r="A19" t="s">
        <v>37</v>
      </c>
      <c r="B19">
        <v>1</v>
      </c>
      <c r="C19" t="s">
        <v>38</v>
      </c>
      <c r="D19" t="s">
        <v>38</v>
      </c>
      <c r="E19">
        <v>30</v>
      </c>
      <c r="F19" s="2" t="s">
        <v>30</v>
      </c>
      <c r="L19" s="1">
        <v>1</v>
      </c>
    </row>
    <row r="20" spans="1:19" ht="32" x14ac:dyDescent="0.2">
      <c r="A20" t="s">
        <v>40</v>
      </c>
      <c r="B20">
        <v>1</v>
      </c>
      <c r="C20" t="s">
        <v>41</v>
      </c>
      <c r="D20" t="s">
        <v>46</v>
      </c>
      <c r="E20">
        <v>32</v>
      </c>
      <c r="F20" s="2" t="s">
        <v>31</v>
      </c>
      <c r="G20" s="1">
        <v>1</v>
      </c>
      <c r="I20" s="1">
        <v>1</v>
      </c>
    </row>
    <row r="21" spans="1:19" ht="32" x14ac:dyDescent="0.2">
      <c r="A21" t="s">
        <v>40</v>
      </c>
      <c r="B21">
        <v>1</v>
      </c>
      <c r="C21" t="s">
        <v>41</v>
      </c>
      <c r="D21" t="s">
        <v>42</v>
      </c>
      <c r="E21">
        <v>33</v>
      </c>
      <c r="F21" s="2" t="s">
        <v>32</v>
      </c>
      <c r="H21" s="1">
        <v>1</v>
      </c>
    </row>
    <row r="23" spans="1:19" x14ac:dyDescent="0.2">
      <c r="F23" s="4"/>
      <c r="R23" s="1">
        <f>SUM(R1:R21)</f>
        <v>0</v>
      </c>
      <c r="S23" s="1">
        <f t="shared" ref="S23" si="0">SUM(S1:S21)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Hendriks, Daniel (KSRI)</cp:lastModifiedBy>
  <dcterms:created xsi:type="dcterms:W3CDTF">2025-04-11T11:09:03Z</dcterms:created>
  <dcterms:modified xsi:type="dcterms:W3CDTF">2025-04-15T12:24:58Z</dcterms:modified>
</cp:coreProperties>
</file>